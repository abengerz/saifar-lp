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資金繰り表" sheetId="1" state="visible" r:id="rId1"/>
    <sheet name="使い方とSAIFARについて" sheetId="2" state="visible" r:id="rId2"/>
  </sheets>
  <definedNames/>
  <calcPr calcId="124519" fullCalcOnLoad="1"/>
</workbook>
</file>

<file path=xl/styles.xml><?xml version="1.0" encoding="utf-8"?>
<styleSheet xmlns="http://schemas.openxmlformats.org/spreadsheetml/2006/main">
  <numFmts count="3">
    <numFmt numFmtId="164" formatCode="#,##0;[Red](#,##0);&quot;-&quot;"/>
    <numFmt numFmtId="165" formatCode="yyyy-mm-dd"/>
    <numFmt numFmtId="166" formatCode="yyyy年m月"/>
  </numFmts>
  <fonts count="13">
    <font>
      <name val="Calibri"/>
      <family val="2"/>
      <color theme="1"/>
      <sz val="11"/>
      <scheme val="minor"/>
    </font>
    <font>
      <name val="Yu Gothic"/>
      <b val="1"/>
      <color rgb="00FFFFFF"/>
      <sz val="16"/>
    </font>
    <font>
      <name val="Yu Gothic"/>
      <color rgb="00404040"/>
      <sz val="10"/>
    </font>
    <font>
      <name val="Yu Gothic"/>
      <b val="1"/>
      <color rgb="001F3864"/>
      <sz val="11"/>
    </font>
    <font>
      <name val="Yu Gothic"/>
      <color rgb="00000000"/>
      <sz val="11"/>
    </font>
    <font>
      <name val="Yu Gothic"/>
      <color rgb="000000FF"/>
      <sz val="11"/>
    </font>
    <font>
      <name val="Yu Gothic"/>
      <color rgb="00808080"/>
      <sz val="9"/>
    </font>
    <font>
      <name val="Yu Gothic"/>
      <b val="1"/>
      <color rgb="00FFFFFF"/>
      <sz val="11"/>
    </font>
    <font>
      <name val="Yu Gothic"/>
      <b val="1"/>
      <color rgb="00000000"/>
      <sz val="11"/>
    </font>
    <font>
      <name val="Yu Gothic"/>
      <b val="1"/>
      <color rgb="00FFFFFF"/>
      <sz val="15"/>
    </font>
    <font>
      <name val="Yu Gothic"/>
      <b val="1"/>
      <color rgb="001F3864"/>
      <sz val="12"/>
    </font>
    <font>
      <name val="Yu Gothic"/>
      <b val="1"/>
      <color rgb="009C6500"/>
    </font>
    <font>
      <name val="Yu Gothic"/>
      <color rgb="00808080"/>
      <sz val="10"/>
    </font>
  </fonts>
  <fills count="6">
    <fill>
      <patternFill/>
    </fill>
    <fill>
      <patternFill patternType="gray125"/>
    </fill>
    <fill>
      <patternFill patternType="solid">
        <fgColor rgb="001F3864"/>
      </patternFill>
    </fill>
    <fill>
      <patternFill patternType="solid">
        <fgColor rgb="00FFFF00"/>
      </patternFill>
    </fill>
    <fill>
      <patternFill patternType="solid">
        <fgColor rgb="002E4C7E"/>
      </patternFill>
    </fill>
    <fill>
      <patternFill patternType="solid">
        <fgColor rgb="00DDEBF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1" applyAlignment="1" pivotButton="0" quotePrefix="0" xfId="0">
      <alignment horizontal="left" vertical="center"/>
    </xf>
    <xf numFmtId="164" fontId="5" fillId="3" borderId="1" applyAlignment="1" pivotButton="0" quotePrefix="0" xfId="0">
      <alignment horizontal="right" vertical="center"/>
    </xf>
    <xf numFmtId="0" fontId="6" fillId="0" borderId="0" applyAlignment="1" pivotButton="0" quotePrefix="0" xfId="0">
      <alignment horizontal="left" vertical="center"/>
    </xf>
    <xf numFmtId="166" fontId="5" fillId="3" borderId="1" applyAlignment="1" pivotButton="0" quotePrefix="0" xfId="0">
      <alignment horizontal="right" vertical="center"/>
    </xf>
    <xf numFmtId="0" fontId="7" fillId="2" borderId="1" applyAlignment="1" pivotButton="0" quotePrefix="0" xfId="0">
      <alignment horizontal="left" vertical="center"/>
    </xf>
    <xf numFmtId="0" fontId="7" fillId="2" borderId="1" applyAlignment="1" pivotButton="0" quotePrefix="0" xfId="0">
      <alignment horizontal="center" vertical="center"/>
    </xf>
    <xf numFmtId="0" fontId="8" fillId="0" borderId="1" applyAlignment="1" pivotButton="0" quotePrefix="0" xfId="0">
      <alignment horizontal="left" vertical="center"/>
    </xf>
    <xf numFmtId="164" fontId="8" fillId="0" borderId="1" applyAlignment="1" pivotButton="0" quotePrefix="0" xfId="0">
      <alignment horizontal="right" vertical="center"/>
    </xf>
    <xf numFmtId="0" fontId="7" fillId="4" borderId="1" applyAlignment="1" pivotButton="0" quotePrefix="0" xfId="0">
      <alignment horizontal="left" vertical="center"/>
    </xf>
    <xf numFmtId="0" fontId="4" fillId="4" borderId="1" applyAlignment="1" pivotButton="0" quotePrefix="0" xfId="0">
      <alignment horizontal="right" vertical="center"/>
    </xf>
    <xf numFmtId="164" fontId="5" fillId="5" borderId="1" applyAlignment="1" pivotButton="0" quotePrefix="0" xfId="0">
      <alignment horizontal="right" vertical="center"/>
    </xf>
    <xf numFmtId="0" fontId="9" fillId="2" borderId="0" applyAlignment="1" pivotButton="0" quotePrefix="0" xfId="0">
      <alignment horizontal="left" vertical="center" wrapText="1"/>
    </xf>
    <xf numFmtId="0" fontId="10" fillId="0" borderId="0" applyAlignment="1" pivotButton="0" quotePrefix="0" xfId="0">
      <alignment horizontal="left" vertical="center" wrapText="1"/>
    </xf>
    <xf numFmtId="0" fontId="4"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2">
    <dxf>
      <font>
        <name val="Yu Gothic"/>
        <b val="1"/>
        <color rgb="009C0006"/>
      </font>
      <fill>
        <patternFill patternType="solid">
          <fgColor rgb="00FFC7CE"/>
        </patternFill>
      </fill>
    </dxf>
    <dxf>
      <font>
        <name val="Yu Gothic"/>
        <b val="1"/>
        <color rgb="009C6500"/>
      </font>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a:p>
            <a:pPr>
              <a:defRPr/>
            </a:pPr>
            <a:r>
              <a:t>資金繰りの推移（月末の現金残高）</a:t>
            </a:r>
          </a:p>
        </rich>
      </tx>
    </title>
    <plotArea>
      <lineChart>
        <grouping val="standard"/>
        <ser>
          <idx val="0"/>
          <order val="0"/>
          <tx>
            <strRef>
              <f>'資金繰り表'!A27</f>
            </strRef>
          </tx>
          <spPr>
            <a:ln w="28000">
              <a:solidFill>
                <a:srgbClr val="1F3864"/>
              </a:solidFill>
              <a:prstDash val="solid"/>
            </a:ln>
          </spPr>
          <marker>
            <symbol val="none"/>
            <spPr>
              <a:ln>
                <a:prstDash val="solid"/>
              </a:ln>
            </spPr>
          </marker>
          <cat>
            <numRef>
              <f>'資金繰り表'!$B$9:$M$9</f>
            </numRef>
          </cat>
          <val>
            <numRef>
              <f>'資金繰り表'!$B$27:$M$27</f>
            </numRef>
          </val>
          <smooth val="0"/>
        </ser>
        <axId val="10"/>
        <axId val="100"/>
      </lineChart>
      <catAx>
        <axId val="10"/>
        <scaling>
          <orientation val="minMax"/>
        </scaling>
        <axPos val="l"/>
        <majorTickMark val="none"/>
        <minorTickMark val="none"/>
        <crossAx val="100"/>
        <lblOffset val="100"/>
      </catAx>
      <valAx>
        <axId val="100"/>
        <scaling>
          <orientation val="minMax"/>
        </scaling>
        <axPos val="l"/>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29</row>
      <rowOff>0</rowOff>
    </from>
    <ext cx="864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M27"/>
  <sheetViews>
    <sheetView showGridLines="0" workbookViewId="0">
      <pane xSplit="1" ySplit="9" topLeftCell="B10" activePane="bottomRight" state="frozen"/>
      <selection pane="topRight"/>
      <selection pane="bottomLeft"/>
      <selection pane="bottomRight"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ht="30" customHeight="1">
      <c r="A1" s="1" t="inlineStr">
        <is>
          <t>資金繰り表（12ヶ月・かんたん版）</t>
        </is>
      </c>
    </row>
    <row r="2" ht="20" customHeight="1">
      <c r="A2" s="2" t="inlineStr">
        <is>
          <t>青いセルに毎月の入出金を入れるだけ。資金がショートしそうな月が赤く表示され、下のグラフで推移が一目で分かります。</t>
        </is>
      </c>
    </row>
    <row r="4">
      <c r="A4" s="3" t="inlineStr">
        <is>
          <t>【前提】ここだけ先に入力</t>
        </is>
      </c>
    </row>
    <row r="5">
      <c r="A5" s="4" t="inlineStr">
        <is>
          <t>期首の現金残高</t>
        </is>
      </c>
      <c r="B5" s="5" t="n">
        <v>2000000</v>
      </c>
      <c r="C5" s="6" t="inlineStr">
        <is>
          <t>← 今ある現金（例）</t>
        </is>
      </c>
    </row>
    <row r="6">
      <c r="A6" s="4" t="inlineStr">
        <is>
          <t>開始年月</t>
        </is>
      </c>
      <c r="B6" s="7" t="n">
        <v>46204</v>
      </c>
      <c r="C6" s="6" t="inlineStr">
        <is>
          <t>← この月から12ヶ月</t>
        </is>
      </c>
    </row>
    <row r="7">
      <c r="A7" s="4" t="inlineStr">
        <is>
          <t>資金ショート警戒ライン</t>
        </is>
      </c>
      <c r="B7" s="5" t="n">
        <v>500000</v>
      </c>
      <c r="C7" s="6" t="inlineStr">
        <is>
          <t>← これを下回ると黄色で警告</t>
        </is>
      </c>
    </row>
    <row r="9">
      <c r="A9" s="8" t="inlineStr">
        <is>
          <t>項目</t>
        </is>
      </c>
      <c r="B9" s="9">
        <f>TEXT(EDATE($B$6,0),"yyyy年m月")</f>
        <v/>
      </c>
      <c r="C9" s="9">
        <f>TEXT(EDATE($B$6,1),"yyyy年m月")</f>
        <v/>
      </c>
      <c r="D9" s="9">
        <f>TEXT(EDATE($B$6,2),"yyyy年m月")</f>
        <v/>
      </c>
      <c r="E9" s="9">
        <f>TEXT(EDATE($B$6,3),"yyyy年m月")</f>
        <v/>
      </c>
      <c r="F9" s="9">
        <f>TEXT(EDATE($B$6,4),"yyyy年m月")</f>
        <v/>
      </c>
      <c r="G9" s="9">
        <f>TEXT(EDATE($B$6,5),"yyyy年m月")</f>
        <v/>
      </c>
      <c r="H9" s="9">
        <f>TEXT(EDATE($B$6,6),"yyyy年m月")</f>
        <v/>
      </c>
      <c r="I9" s="9">
        <f>TEXT(EDATE($B$6,7),"yyyy年m月")</f>
        <v/>
      </c>
      <c r="J9" s="9">
        <f>TEXT(EDATE($B$6,8),"yyyy年m月")</f>
        <v/>
      </c>
      <c r="K9" s="9">
        <f>TEXT(EDATE($B$6,9),"yyyy年m月")</f>
        <v/>
      </c>
      <c r="L9" s="9">
        <f>TEXT(EDATE($B$6,10),"yyyy年m月")</f>
        <v/>
      </c>
      <c r="M9" s="9">
        <f>TEXT(EDATE($B$6,11),"yyyy年m月")</f>
        <v/>
      </c>
    </row>
    <row r="10">
      <c r="A10" s="10" t="inlineStr">
        <is>
          <t>① 月初の現金残高</t>
        </is>
      </c>
      <c r="B10" s="11">
        <f>B5</f>
        <v/>
      </c>
      <c r="C10" s="11">
        <f>B27</f>
        <v/>
      </c>
      <c r="D10" s="11">
        <f>C27</f>
        <v/>
      </c>
      <c r="E10" s="11">
        <f>D27</f>
        <v/>
      </c>
      <c r="F10" s="11">
        <f>E27</f>
        <v/>
      </c>
      <c r="G10" s="11">
        <f>F27</f>
        <v/>
      </c>
      <c r="H10" s="11">
        <f>G27</f>
        <v/>
      </c>
      <c r="I10" s="11">
        <f>H27</f>
        <v/>
      </c>
      <c r="J10" s="11">
        <f>I27</f>
        <v/>
      </c>
      <c r="K10" s="11">
        <f>J27</f>
        <v/>
      </c>
      <c r="L10" s="11">
        <f>K27</f>
        <v/>
      </c>
      <c r="M10" s="11">
        <f>L27</f>
        <v/>
      </c>
    </row>
    <row r="11">
      <c r="A11" s="12" t="inlineStr">
        <is>
          <t>■ 収入（入ってくるお金）</t>
        </is>
      </c>
      <c r="B11" s="13" t="n"/>
      <c r="C11" s="13" t="n"/>
      <c r="D11" s="13" t="n"/>
      <c r="E11" s="13" t="n"/>
      <c r="F11" s="13" t="n"/>
      <c r="G11" s="13" t="n"/>
      <c r="H11" s="13" t="n"/>
      <c r="I11" s="13" t="n"/>
      <c r="J11" s="13" t="n"/>
      <c r="K11" s="13" t="n"/>
      <c r="L11" s="13" t="n"/>
      <c r="M11" s="13" t="n"/>
    </row>
    <row r="12">
      <c r="A12" s="4" t="inlineStr">
        <is>
          <t>現金売上</t>
        </is>
      </c>
      <c r="B12" s="14" t="n">
        <v>1500000</v>
      </c>
      <c r="C12" s="14" t="n">
        <v>1500000</v>
      </c>
      <c r="D12" s="14" t="n">
        <v>1500000</v>
      </c>
      <c r="E12" s="14" t="n">
        <v>1500000</v>
      </c>
      <c r="F12" s="14" t="n">
        <v>1500000</v>
      </c>
      <c r="G12" s="14" t="n">
        <v>1500000</v>
      </c>
      <c r="H12" s="14" t="n">
        <v>1500000</v>
      </c>
      <c r="I12" s="14" t="n">
        <v>1500000</v>
      </c>
      <c r="J12" s="14" t="n">
        <v>1500000</v>
      </c>
      <c r="K12" s="14" t="n">
        <v>1500000</v>
      </c>
      <c r="L12" s="14" t="n">
        <v>1500000</v>
      </c>
      <c r="M12" s="14" t="n">
        <v>1500000</v>
      </c>
    </row>
    <row r="13">
      <c r="A13" s="4" t="inlineStr">
        <is>
          <t>売掛金の回収</t>
        </is>
      </c>
      <c r="B13" s="14" t="n">
        <v>2000000</v>
      </c>
      <c r="C13" s="14" t="n">
        <v>2000000</v>
      </c>
      <c r="D13" s="14" t="n">
        <v>2000000</v>
      </c>
      <c r="E13" s="14" t="n">
        <v>2000000</v>
      </c>
      <c r="F13" s="14" t="n">
        <v>2000000</v>
      </c>
      <c r="G13" s="14" t="n">
        <v>2000000</v>
      </c>
      <c r="H13" s="14" t="n">
        <v>2000000</v>
      </c>
      <c r="I13" s="14" t="n">
        <v>2000000</v>
      </c>
      <c r="J13" s="14" t="n">
        <v>2000000</v>
      </c>
      <c r="K13" s="14" t="n">
        <v>2000000</v>
      </c>
      <c r="L13" s="14" t="n">
        <v>2000000</v>
      </c>
      <c r="M13" s="14" t="n">
        <v>2000000</v>
      </c>
    </row>
    <row r="14">
      <c r="A14" s="4" t="inlineStr">
        <is>
          <t>借入・補助金 等</t>
        </is>
      </c>
      <c r="B14" s="14" t="n">
        <v>0</v>
      </c>
      <c r="C14" s="14" t="n">
        <v>0</v>
      </c>
      <c r="D14" s="14" t="n">
        <v>0</v>
      </c>
      <c r="E14" s="14" t="n">
        <v>0</v>
      </c>
      <c r="F14" s="14" t="n">
        <v>0</v>
      </c>
      <c r="G14" s="14" t="n">
        <v>0</v>
      </c>
      <c r="H14" s="14" t="n">
        <v>0</v>
      </c>
      <c r="I14" s="14" t="n">
        <v>0</v>
      </c>
      <c r="J14" s="14" t="n">
        <v>0</v>
      </c>
      <c r="K14" s="14" t="n">
        <v>0</v>
      </c>
      <c r="L14" s="14" t="n">
        <v>0</v>
      </c>
      <c r="M14" s="14" t="n">
        <v>0</v>
      </c>
    </row>
    <row r="15">
      <c r="A15" s="4" t="inlineStr">
        <is>
          <t>その他の入金</t>
        </is>
      </c>
      <c r="B15" s="14" t="n">
        <v>0</v>
      </c>
      <c r="C15" s="14" t="n">
        <v>0</v>
      </c>
      <c r="D15" s="14" t="n">
        <v>0</v>
      </c>
      <c r="E15" s="14" t="n">
        <v>0</v>
      </c>
      <c r="F15" s="14" t="n">
        <v>0</v>
      </c>
      <c r="G15" s="14" t="n">
        <v>0</v>
      </c>
      <c r="H15" s="14" t="n">
        <v>0</v>
      </c>
      <c r="I15" s="14" t="n">
        <v>0</v>
      </c>
      <c r="J15" s="14" t="n">
        <v>0</v>
      </c>
      <c r="K15" s="14" t="n">
        <v>0</v>
      </c>
      <c r="L15" s="14" t="n">
        <v>0</v>
      </c>
      <c r="M15" s="14" t="n">
        <v>0</v>
      </c>
    </row>
    <row r="16">
      <c r="A16" s="10" t="inlineStr">
        <is>
          <t>収入合計</t>
        </is>
      </c>
      <c r="B16" s="11">
        <f>SUM(B12:B15)</f>
        <v/>
      </c>
      <c r="C16" s="11">
        <f>SUM(C12:C15)</f>
        <v/>
      </c>
      <c r="D16" s="11">
        <f>SUM(D12:D15)</f>
        <v/>
      </c>
      <c r="E16" s="11">
        <f>SUM(E12:E15)</f>
        <v/>
      </c>
      <c r="F16" s="11">
        <f>SUM(F12:F15)</f>
        <v/>
      </c>
      <c r="G16" s="11">
        <f>SUM(G12:G15)</f>
        <v/>
      </c>
      <c r="H16" s="11">
        <f>SUM(H12:H15)</f>
        <v/>
      </c>
      <c r="I16" s="11">
        <f>SUM(I12:I15)</f>
        <v/>
      </c>
      <c r="J16" s="11">
        <f>SUM(J12:J15)</f>
        <v/>
      </c>
      <c r="K16" s="11">
        <f>SUM(K12:K15)</f>
        <v/>
      </c>
      <c r="L16" s="11">
        <f>SUM(L12:L15)</f>
        <v/>
      </c>
      <c r="M16" s="11">
        <f>SUM(M12:M15)</f>
        <v/>
      </c>
    </row>
    <row r="17">
      <c r="A17" s="12" t="inlineStr">
        <is>
          <t>■ 支出（出ていくお金）</t>
        </is>
      </c>
      <c r="B17" s="13" t="n"/>
      <c r="C17" s="13" t="n"/>
      <c r="D17" s="13" t="n"/>
      <c r="E17" s="13" t="n"/>
      <c r="F17" s="13" t="n"/>
      <c r="G17" s="13" t="n"/>
      <c r="H17" s="13" t="n"/>
      <c r="I17" s="13" t="n"/>
      <c r="J17" s="13" t="n"/>
      <c r="K17" s="13" t="n"/>
      <c r="L17" s="13" t="n"/>
      <c r="M17" s="13" t="n"/>
    </row>
    <row r="18">
      <c r="A18" s="4" t="inlineStr">
        <is>
          <t>仕入・外注費</t>
        </is>
      </c>
      <c r="B18" s="14" t="n">
        <v>1200000</v>
      </c>
      <c r="C18" s="14" t="n">
        <v>1200000</v>
      </c>
      <c r="D18" s="14" t="n">
        <v>1200000</v>
      </c>
      <c r="E18" s="14" t="n">
        <v>1200000</v>
      </c>
      <c r="F18" s="14" t="n">
        <v>1200000</v>
      </c>
      <c r="G18" s="14" t="n">
        <v>1200000</v>
      </c>
      <c r="H18" s="14" t="n">
        <v>1200000</v>
      </c>
      <c r="I18" s="14" t="n">
        <v>1200000</v>
      </c>
      <c r="J18" s="14" t="n">
        <v>1200000</v>
      </c>
      <c r="K18" s="14" t="n">
        <v>1200000</v>
      </c>
      <c r="L18" s="14" t="n">
        <v>1200000</v>
      </c>
      <c r="M18" s="14" t="n">
        <v>1200000</v>
      </c>
    </row>
    <row r="19">
      <c r="A19" s="4" t="inlineStr">
        <is>
          <t>人件費（給与・賞与）</t>
        </is>
      </c>
      <c r="B19" s="14" t="n">
        <v>1300000</v>
      </c>
      <c r="C19" s="14" t="n">
        <v>1300000</v>
      </c>
      <c r="D19" s="14" t="n">
        <v>1300000</v>
      </c>
      <c r="E19" s="14" t="n">
        <v>1300000</v>
      </c>
      <c r="F19" s="14" t="n">
        <v>1300000</v>
      </c>
      <c r="G19" s="14" t="n">
        <v>3300000</v>
      </c>
      <c r="H19" s="14" t="n">
        <v>1300000</v>
      </c>
      <c r="I19" s="14" t="n">
        <v>1300000</v>
      </c>
      <c r="J19" s="14" t="n">
        <v>1300000</v>
      </c>
      <c r="K19" s="14" t="n">
        <v>1300000</v>
      </c>
      <c r="L19" s="14" t="n">
        <v>1300000</v>
      </c>
      <c r="M19" s="14" t="n">
        <v>1300000</v>
      </c>
    </row>
    <row r="20">
      <c r="A20" s="4" t="inlineStr">
        <is>
          <t>家賃・地代</t>
        </is>
      </c>
      <c r="B20" s="14" t="n">
        <v>300000</v>
      </c>
      <c r="C20" s="14" t="n">
        <v>300000</v>
      </c>
      <c r="D20" s="14" t="n">
        <v>300000</v>
      </c>
      <c r="E20" s="14" t="n">
        <v>300000</v>
      </c>
      <c r="F20" s="14" t="n">
        <v>300000</v>
      </c>
      <c r="G20" s="14" t="n">
        <v>300000</v>
      </c>
      <c r="H20" s="14" t="n">
        <v>300000</v>
      </c>
      <c r="I20" s="14" t="n">
        <v>300000</v>
      </c>
      <c r="J20" s="14" t="n">
        <v>300000</v>
      </c>
      <c r="K20" s="14" t="n">
        <v>300000</v>
      </c>
      <c r="L20" s="14" t="n">
        <v>300000</v>
      </c>
      <c r="M20" s="14" t="n">
        <v>300000</v>
      </c>
    </row>
    <row r="21">
      <c r="A21" s="4" t="inlineStr">
        <is>
          <t>その他経費</t>
        </is>
      </c>
      <c r="B21" s="14" t="n">
        <v>400000</v>
      </c>
      <c r="C21" s="14" t="n">
        <v>400000</v>
      </c>
      <c r="D21" s="14" t="n">
        <v>400000</v>
      </c>
      <c r="E21" s="14" t="n">
        <v>400000</v>
      </c>
      <c r="F21" s="14" t="n">
        <v>400000</v>
      </c>
      <c r="G21" s="14" t="n">
        <v>400000</v>
      </c>
      <c r="H21" s="14" t="n">
        <v>400000</v>
      </c>
      <c r="I21" s="14" t="n">
        <v>400000</v>
      </c>
      <c r="J21" s="14" t="n">
        <v>400000</v>
      </c>
      <c r="K21" s="14" t="n">
        <v>400000</v>
      </c>
      <c r="L21" s="14" t="n">
        <v>400000</v>
      </c>
      <c r="M21" s="14" t="n">
        <v>400000</v>
      </c>
    </row>
    <row r="22">
      <c r="A22" s="4" t="inlineStr">
        <is>
          <t>借入の返済</t>
        </is>
      </c>
      <c r="B22" s="14" t="n">
        <v>200000</v>
      </c>
      <c r="C22" s="14" t="n">
        <v>200000</v>
      </c>
      <c r="D22" s="14" t="n">
        <v>200000</v>
      </c>
      <c r="E22" s="14" t="n">
        <v>200000</v>
      </c>
      <c r="F22" s="14" t="n">
        <v>200000</v>
      </c>
      <c r="G22" s="14" t="n">
        <v>200000</v>
      </c>
      <c r="H22" s="14" t="n">
        <v>200000</v>
      </c>
      <c r="I22" s="14" t="n">
        <v>200000</v>
      </c>
      <c r="J22" s="14" t="n">
        <v>200000</v>
      </c>
      <c r="K22" s="14" t="n">
        <v>200000</v>
      </c>
      <c r="L22" s="14" t="n">
        <v>200000</v>
      </c>
      <c r="M22" s="14" t="n">
        <v>200000</v>
      </c>
    </row>
    <row r="23">
      <c r="A23" s="4" t="inlineStr">
        <is>
          <t>税金・社会保険</t>
        </is>
      </c>
      <c r="B23" s="14" t="n">
        <v>0</v>
      </c>
      <c r="C23" s="14" t="n">
        <v>0</v>
      </c>
      <c r="D23" s="14" t="n">
        <v>0</v>
      </c>
      <c r="E23" s="14" t="n">
        <v>0</v>
      </c>
      <c r="F23" s="14" t="n">
        <v>0</v>
      </c>
      <c r="G23" s="14" t="n">
        <v>1500000</v>
      </c>
      <c r="H23" s="14" t="n">
        <v>0</v>
      </c>
      <c r="I23" s="14" t="n">
        <v>0</v>
      </c>
      <c r="J23" s="14" t="n">
        <v>0</v>
      </c>
      <c r="K23" s="14" t="n">
        <v>0</v>
      </c>
      <c r="L23" s="14" t="n">
        <v>0</v>
      </c>
      <c r="M23" s="14" t="n">
        <v>0</v>
      </c>
    </row>
    <row r="24">
      <c r="A24" s="4" t="inlineStr">
        <is>
          <t>その他の支出</t>
        </is>
      </c>
      <c r="B24" s="14" t="n">
        <v>0</v>
      </c>
      <c r="C24" s="14" t="n">
        <v>0</v>
      </c>
      <c r="D24" s="14" t="n">
        <v>0</v>
      </c>
      <c r="E24" s="14" t="n">
        <v>0</v>
      </c>
      <c r="F24" s="14" t="n">
        <v>0</v>
      </c>
      <c r="G24" s="14" t="n">
        <v>0</v>
      </c>
      <c r="H24" s="14" t="n">
        <v>0</v>
      </c>
      <c r="I24" s="14" t="n">
        <v>0</v>
      </c>
      <c r="J24" s="14" t="n">
        <v>0</v>
      </c>
      <c r="K24" s="14" t="n">
        <v>0</v>
      </c>
      <c r="L24" s="14" t="n">
        <v>0</v>
      </c>
      <c r="M24" s="14" t="n">
        <v>0</v>
      </c>
    </row>
    <row r="25">
      <c r="A25" s="10" t="inlineStr">
        <is>
          <t>支出合計</t>
        </is>
      </c>
      <c r="B25" s="11">
        <f>SUM(B18:B24)</f>
        <v/>
      </c>
      <c r="C25" s="11">
        <f>SUM(C18:C24)</f>
        <v/>
      </c>
      <c r="D25" s="11">
        <f>SUM(D18:D24)</f>
        <v/>
      </c>
      <c r="E25" s="11">
        <f>SUM(E18:E24)</f>
        <v/>
      </c>
      <c r="F25" s="11">
        <f>SUM(F18:F24)</f>
        <v/>
      </c>
      <c r="G25" s="11">
        <f>SUM(G18:G24)</f>
        <v/>
      </c>
      <c r="H25" s="11">
        <f>SUM(H18:H24)</f>
        <v/>
      </c>
      <c r="I25" s="11">
        <f>SUM(I18:I24)</f>
        <v/>
      </c>
      <c r="J25" s="11">
        <f>SUM(J18:J24)</f>
        <v/>
      </c>
      <c r="K25" s="11">
        <f>SUM(K18:K24)</f>
        <v/>
      </c>
      <c r="L25" s="11">
        <f>SUM(L18:L24)</f>
        <v/>
      </c>
      <c r="M25" s="11">
        <f>SUM(M18:M24)</f>
        <v/>
      </c>
    </row>
    <row r="26">
      <c r="A26" s="10" t="inlineStr">
        <is>
          <t>② 当月収支（収入 − 支出）</t>
        </is>
      </c>
      <c r="B26" s="11">
        <f>B16-B25</f>
        <v/>
      </c>
      <c r="C26" s="11">
        <f>C16-C25</f>
        <v/>
      </c>
      <c r="D26" s="11">
        <f>D16-D25</f>
        <v/>
      </c>
      <c r="E26" s="11">
        <f>E16-E25</f>
        <v/>
      </c>
      <c r="F26" s="11">
        <f>F16-F25</f>
        <v/>
      </c>
      <c r="G26" s="11">
        <f>G16-G25</f>
        <v/>
      </c>
      <c r="H26" s="11">
        <f>H16-H25</f>
        <v/>
      </c>
      <c r="I26" s="11">
        <f>I16-I25</f>
        <v/>
      </c>
      <c r="J26" s="11">
        <f>J16-J25</f>
        <v/>
      </c>
      <c r="K26" s="11">
        <f>K16-K25</f>
        <v/>
      </c>
      <c r="L26" s="11">
        <f>L16-L25</f>
        <v/>
      </c>
      <c r="M26" s="11">
        <f>M16-M25</f>
        <v/>
      </c>
    </row>
    <row r="27">
      <c r="A27" s="8" t="inlineStr">
        <is>
          <t>③ 月末の現金残高（①＋②）</t>
        </is>
      </c>
      <c r="B27" s="11">
        <f>B10+B26</f>
        <v/>
      </c>
      <c r="C27" s="11">
        <f>C10+C26</f>
        <v/>
      </c>
      <c r="D27" s="11">
        <f>D10+D26</f>
        <v/>
      </c>
      <c r="E27" s="11">
        <f>E10+E26</f>
        <v/>
      </c>
      <c r="F27" s="11">
        <f>F10+F26</f>
        <v/>
      </c>
      <c r="G27" s="11">
        <f>G10+G26</f>
        <v/>
      </c>
      <c r="H27" s="11">
        <f>H10+H26</f>
        <v/>
      </c>
      <c r="I27" s="11">
        <f>I10+I26</f>
        <v/>
      </c>
      <c r="J27" s="11">
        <f>J10+J26</f>
        <v/>
      </c>
      <c r="K27" s="11">
        <f>K10+K26</f>
        <v/>
      </c>
      <c r="L27" s="11">
        <f>L10+L26</f>
        <v/>
      </c>
      <c r="M27" s="11">
        <f>M10+M26</f>
        <v/>
      </c>
    </row>
  </sheetData>
  <mergeCells count="2">
    <mergeCell ref="A2:M2"/>
    <mergeCell ref="A1:M1"/>
  </mergeCells>
  <conditionalFormatting sqref="B27:M27">
    <cfRule type="cellIs" priority="1" operator="lessThan" dxfId="0">
      <formula>0</formula>
    </cfRule>
    <cfRule type="expression" priority="2" dxfId="1">
      <formula>AND(B27&gt;=0,B27&lt;$B$7)</formula>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22"/>
  <sheetViews>
    <sheetView showGridLines="0" workbookViewId="0">
      <selection activeCell="A1" sqref="A1"/>
    </sheetView>
  </sheetViews>
  <sheetFormatPr baseColWidth="8" defaultRowHeight="15"/>
  <cols>
    <col width="100" customWidth="1" min="1" max="1"/>
  </cols>
  <sheetData>
    <row r="1" ht="28" customHeight="1">
      <c r="A1" s="15" t="inlineStr">
        <is>
          <t>資金繰りテンプレの使い方</t>
        </is>
      </c>
    </row>
    <row r="3">
      <c r="A3" s="16" t="inlineStr">
        <is>
          <t>① まず「前提」を入れる</t>
        </is>
      </c>
    </row>
    <row r="4">
      <c r="A4" s="17" t="inlineStr">
        <is>
          <t xml:space="preserve">　・期首の現金残高（今ある現金）／開始年月／資金ショート警戒ライン の3つだけ先に入力します。</t>
        </is>
      </c>
    </row>
    <row r="6">
      <c r="A6" s="16" t="inlineStr">
        <is>
          <t>② 青いセルに毎月の入出金を入れる</t>
        </is>
      </c>
    </row>
    <row r="7">
      <c r="A7" s="17" t="inlineStr">
        <is>
          <t xml:space="preserve">　・収入（現金売上・売掛金回収・借入 等）と、支出（仕入・人件費・家賃・返済・税金 等）を毎月入れるだけ。</t>
        </is>
      </c>
    </row>
    <row r="8">
      <c r="A8" s="17" t="inlineStr">
        <is>
          <t xml:space="preserve">　・青い文字＝あなたが入力するところ／黒い文字＝自動で計算されるところ です。</t>
        </is>
      </c>
    </row>
    <row r="10">
      <c r="A10" s="16" t="inlineStr">
        <is>
          <t>③ 「月末の現金残高」とグラフで危険月が一目で分かる</t>
        </is>
      </c>
    </row>
    <row r="11">
      <c r="A11" s="17" t="inlineStr">
        <is>
          <t xml:space="preserve">　・月末残高がマイナスになる月は赤、警戒ラインを下回る月は黄色で表示されます。</t>
        </is>
      </c>
    </row>
    <row r="12">
      <c r="A12" s="17" t="inlineStr">
        <is>
          <t xml:space="preserve">　・下のグラフで、資金がいつ・どれだけ足りなくなりそうかが可視化されます。早めに借入や支払調整の手を打てます。</t>
        </is>
      </c>
    </row>
    <row r="14">
      <c r="A14" s="18" t="inlineStr">
        <is>
          <t>サンプル数値が入っています</t>
        </is>
      </c>
    </row>
    <row r="15">
      <c r="A15" s="17" t="inlineStr">
        <is>
          <t xml:space="preserve">　・初期状態では、賞与と納税が重なる6ヶ月目に資金がショートする例が入っています。ご自身の数字に上書きしてお使いください。</t>
        </is>
      </c>
    </row>
    <row r="17">
      <c r="A17" s="16" t="inlineStr">
        <is>
          <t>── SAIFARについて ──</t>
        </is>
      </c>
    </row>
    <row r="18">
      <c r="A18" s="17" t="inlineStr">
        <is>
          <t>このテンプレは、開発中の経営管理SaaS「SAIFAR」の考え方を、まず手元のExcelで試せる無料版です。</t>
        </is>
      </c>
    </row>
    <row r="19">
      <c r="A19" s="17" t="inlineStr">
        <is>
          <t>SAIFARでは、この資金繰りの可視化を『数字を入れるだけ・簿記の知識なし』で自動化し、さらに数ヶ月先の予測や資金調達の下準備まで支援することを目指しています。</t>
        </is>
      </c>
    </row>
    <row r="20">
      <c r="A20" s="17" t="inlineStr">
        <is>
          <t>事前登録された方には、ローンチ時に優先してご案内します。</t>
        </is>
      </c>
    </row>
    <row r="22">
      <c r="A22" s="19" t="inlineStr">
        <is>
          <t>【ご注意】本テンプレは一般的な情報提供を目的としたものです。作成者は税理士ではありません。個別の税務判断や経営判断は、顧問税理士等の専門家にご確認ください。</t>
        </is>
      </c>
    </row>
  </sheetData>
  <mergeCells count="1">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2026-07-07T00:03:31Z</dcterms:created>
  <dcterms:modified xsi:type="dcterms:W3CDTF">2026-07-07T00:03:31Z</dcterms:modified>
</cp:coreProperties>
</file>